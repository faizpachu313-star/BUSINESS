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ummary" sheetId="1" state="visible" r:id="rId1"/>
    <sheet name="01-Jan" sheetId="2" state="visible" r:id="rId2"/>
    <sheet name="02-Jan" sheetId="3" state="visible" r:id="rId3"/>
    <sheet name="03-Jan" sheetId="4" state="visible" r:id="rId4"/>
    <sheet name="04-Jan" sheetId="5" state="visible" r:id="rId5"/>
    <sheet name="05-Jan" sheetId="6" state="visible" r:id="rId6"/>
    <sheet name="06-Jan" sheetId="7" state="visible" r:id="rId7"/>
    <sheet name="07-Jan" sheetId="8" state="visible" r:id="rId8"/>
    <sheet name="08-Jan" sheetId="9" state="visible" r:id="rId9"/>
    <sheet name="09-Jan" sheetId="10" state="visible" r:id="rId10"/>
    <sheet name="10-Jan" sheetId="11" state="visible" r:id="rId11"/>
    <sheet name="11-Jan" sheetId="12" state="visible" r:id="rId12"/>
    <sheet name="12-Jan" sheetId="13" state="visible" r:id="rId13"/>
    <sheet name="13-Jan" sheetId="14" state="visible" r:id="rId14"/>
    <sheet name="14-Jan" sheetId="15" state="visible" r:id="rId15"/>
    <sheet name="15-Jan" sheetId="16" state="visible" r:id="rId16"/>
    <sheet name="16-Jan" sheetId="17" state="visible" r:id="rId17"/>
    <sheet name="17-Jan" sheetId="18" state="visible" r:id="rId18"/>
    <sheet name="18-Jan" sheetId="19" state="visible" r:id="rId19"/>
    <sheet name="19-Jan" sheetId="20" state="visible" r:id="rId20"/>
    <sheet name="20-Jan" sheetId="21" state="visible" r:id="rId21"/>
    <sheet name="21-Jan" sheetId="22" state="visible" r:id="rId22"/>
    <sheet name="22-Jan" sheetId="23" state="visible" r:id="rId23"/>
    <sheet name="23-Jan" sheetId="24" state="visible" r:id="rId24"/>
    <sheet name="24-Jan" sheetId="25" state="visible" r:id="rId25"/>
    <sheet name="25-Jan" sheetId="26" state="visible" r:id="rId26"/>
    <sheet name="26-Jan" sheetId="27" state="visible" r:id="rId27"/>
    <sheet name="27-Jan" sheetId="28" state="visible" r:id="rId28"/>
    <sheet name="28-Jan" sheetId="29" state="visible" r:id="rId29"/>
    <sheet name="29-Jan" sheetId="30" state="visible" r:id="rId30"/>
    <sheet name="30-Jan" sheetId="31" state="visible" r:id="rId31"/>
    <sheet name="31-Jan" sheetId="32" state="visible" r:id="rId32"/>
  </sheets>
  <definedNames>
    <definedName name="_xlnm.Print_Titles" localSheetId="0">'Monthly Summary'!$1:$4</definedName>
    <definedName name="_xlnm.Print_Titles" localSheetId="1">'01-Jan'!$1:$4</definedName>
    <definedName name="_xlnm.Print_Titles" localSheetId="2">'02-Jan'!$1:$4</definedName>
    <definedName name="_xlnm.Print_Titles" localSheetId="3">'03-Jan'!$1:$4</definedName>
    <definedName name="_xlnm.Print_Titles" localSheetId="4">'04-Jan'!$1:$4</definedName>
    <definedName name="_xlnm.Print_Titles" localSheetId="5">'05-Jan'!$1:$4</definedName>
    <definedName name="_xlnm.Print_Titles" localSheetId="6">'06-Jan'!$1:$4</definedName>
    <definedName name="_xlnm.Print_Titles" localSheetId="7">'07-Jan'!$1:$4</definedName>
    <definedName name="_xlnm.Print_Titles" localSheetId="8">'08-Jan'!$1:$4</definedName>
    <definedName name="_xlnm.Print_Titles" localSheetId="9">'09-Jan'!$1:$4</definedName>
    <definedName name="_xlnm.Print_Titles" localSheetId="10">'10-Jan'!$1:$4</definedName>
    <definedName name="_xlnm.Print_Titles" localSheetId="11">'11-Jan'!$1:$4</definedName>
    <definedName name="_xlnm.Print_Titles" localSheetId="12">'12-Jan'!$1:$4</definedName>
    <definedName name="_xlnm.Print_Titles" localSheetId="13">'13-Jan'!$1:$4</definedName>
    <definedName name="_xlnm.Print_Titles" localSheetId="14">'14-Jan'!$1:$4</definedName>
    <definedName name="_xlnm.Print_Titles" localSheetId="15">'15-Jan'!$1:$4</definedName>
    <definedName name="_xlnm.Print_Titles" localSheetId="16">'16-Jan'!$1:$4</definedName>
    <definedName name="_xlnm.Print_Titles" localSheetId="17">'17-Jan'!$1:$4</definedName>
    <definedName name="_xlnm.Print_Titles" localSheetId="18">'18-Jan'!$1:$4</definedName>
    <definedName name="_xlnm.Print_Titles" localSheetId="19">'19-Jan'!$1:$4</definedName>
    <definedName name="_xlnm.Print_Titles" localSheetId="20">'20-Jan'!$1:$4</definedName>
    <definedName name="_xlnm.Print_Titles" localSheetId="21">'21-Jan'!$1:$4</definedName>
    <definedName name="_xlnm.Print_Titles" localSheetId="22">'22-Jan'!$1:$4</definedName>
    <definedName name="_xlnm.Print_Titles" localSheetId="23">'23-Jan'!$1:$4</definedName>
    <definedName name="_xlnm.Print_Titles" localSheetId="24">'24-Jan'!$1:$4</definedName>
    <definedName name="_xlnm.Print_Titles" localSheetId="25">'25-Jan'!$1:$4</definedName>
    <definedName name="_xlnm.Print_Titles" localSheetId="26">'26-Jan'!$1:$4</definedName>
    <definedName name="_xlnm.Print_Titles" localSheetId="27">'27-Jan'!$1:$4</definedName>
    <definedName name="_xlnm.Print_Titles" localSheetId="28">'28-Jan'!$1:$4</definedName>
    <definedName name="_xlnm.Print_Titles" localSheetId="29">'29-Jan'!$1:$4</definedName>
    <definedName name="_xlnm.Print_Titles" localSheetId="30">'30-Jan'!$1:$4</definedName>
    <definedName name="_xlnm.Print_Titles" localSheetId="31">'31-Jan'!$1:$4</definedName>
  </definedNames>
  <calcPr calcId="124519" fullCalcOnLoad="1"/>
</workbook>
</file>

<file path=xl/sharedStrings.xml><?xml version="1.0" encoding="utf-8"?>
<sst xmlns="http://schemas.openxmlformats.org/spreadsheetml/2006/main" count="54" uniqueCount="54">
  <si>
    <t xml:space="preserve">🇦🇪 AED  ⇄  🇮🇳 INR  —  Monthly Summary (January)</t>
  </si>
  <si>
    <t xml:space="preserve">Pulled automatically from the daily sheets · losses are shown as negative amounts · Net = Profit + Loss · click a day to open its sheet</t>
  </si>
  <si>
    <t xml:space="preserve">Day</t>
  </si>
  <si>
    <t xml:space="preserve">AED Received</t>
  </si>
  <si>
    <t xml:space="preserve">INR Given</t>
  </si>
  <si>
    <t xml:space="preserve">Profit</t>
  </si>
  <si>
    <t xml:space="preserve">Loss</t>
  </si>
  <si>
    <t xml:space="preserve">Net Profit/Loss</t>
  </si>
  <si>
    <t xml:space="preserve">Transactions</t>
  </si>
  <si>
    <t xml:space="preserve">01-Jan</t>
  </si>
  <si>
    <t xml:space="preserve">02-Jan</t>
  </si>
  <si>
    <t xml:space="preserve">03-Jan</t>
  </si>
  <si>
    <t xml:space="preserve">04-Jan</t>
  </si>
  <si>
    <t xml:space="preserve">05-Jan</t>
  </si>
  <si>
    <t xml:space="preserve">06-Jan</t>
  </si>
  <si>
    <t xml:space="preserve">07-Jan</t>
  </si>
  <si>
    <t xml:space="preserve">08-Jan</t>
  </si>
  <si>
    <t xml:space="preserve">09-Jan</t>
  </si>
  <si>
    <t xml:space="preserve">10-Jan</t>
  </si>
  <si>
    <t xml:space="preserve">11-Jan</t>
  </si>
  <si>
    <t xml:space="preserve">12-Jan</t>
  </si>
  <si>
    <t xml:space="preserve">13-Jan</t>
  </si>
  <si>
    <t xml:space="preserve">14-Jan</t>
  </si>
  <si>
    <t xml:space="preserve">15-Jan</t>
  </si>
  <si>
    <t xml:space="preserve">16-Jan</t>
  </si>
  <si>
    <t xml:space="preserve">17-Jan</t>
  </si>
  <si>
    <t xml:space="preserve">18-Jan</t>
  </si>
  <si>
    <t xml:space="preserve">19-Jan</t>
  </si>
  <si>
    <t xml:space="preserve">20-Jan</t>
  </si>
  <si>
    <t xml:space="preserve">21-Jan</t>
  </si>
  <si>
    <t xml:space="preserve">22-Jan</t>
  </si>
  <si>
    <t xml:space="preserve">23-Jan</t>
  </si>
  <si>
    <t xml:space="preserve">24-Jan</t>
  </si>
  <si>
    <t xml:space="preserve">25-Jan</t>
  </si>
  <si>
    <t xml:space="preserve">26-Jan</t>
  </si>
  <si>
    <t xml:space="preserve">27-Jan</t>
  </si>
  <si>
    <t xml:space="preserve">28-Jan</t>
  </si>
  <si>
    <t xml:space="preserve">29-Jan</t>
  </si>
  <si>
    <t xml:space="preserve">30-Jan</t>
  </si>
  <si>
    <t xml:space="preserve">31-Jan</t>
  </si>
  <si>
    <t xml:space="preserve">MONTH TOTAL</t>
  </si>
  <si>
    <t xml:space="preserve">🇦🇪 AED — UAE Dirham</t>
  </si>
  <si>
    <t xml:space="preserve">🇮🇳 INR — Indian Rupee</t>
  </si>
  <si>
    <t xml:space="preserve">EXCHANGE RATE</t>
  </si>
  <si>
    <t xml:space="preserve">1 AED  =</t>
  </si>
  <si>
    <t xml:space="preserve">Yellow cell and blue figures are yours to type; everything else calculates automatically.
Profit / Loss = AED Received × Rate − INR Given   (100 AED at 25, ₹2,400 given → +₹100)</t>
  </si>
  <si>
    <t xml:space="preserve">Name</t>
  </si>
  <si>
    <t xml:space="preserve">Profit / Loss</t>
  </si>
  <si>
    <t xml:space="preserve">DAILY TOTALS</t>
  </si>
  <si>
    <t xml:space="preserve">Total AED Received</t>
  </si>
  <si>
    <t xml:space="preserve">Total INR Given</t>
  </si>
  <si>
    <t xml:space="preserve">Total Profit</t>
  </si>
  <si>
    <t xml:space="preserve">Total Loss</t>
  </si>
  <si>
    <t xml:space="preserve">Number of Transactions</t>
  </si>
</sst>
</file>

<file path=xl/styles.xml><?xml version="1.0" encoding="utf-8"?>
<styleSheet xmlns="http://schemas.openxmlformats.org/spreadsheetml/2006/main">
  <numFmts count="8">
    <numFmt numFmtId="164" formatCode="&quot;₹ &quot;0.00##"/>
    <numFmt numFmtId="165" formatCode="#,##0.00&quot; د.إ&quot;"/>
    <numFmt numFmtId="166" formatCode="&quot;₹&quot;#,##0.00"/>
    <numFmt numFmtId="167" formatCode="&quot;+₹&quot;#,##0.00;&quot;−₹&quot;#,##0.00;&quot;₹&quot;0.00"/>
    <numFmt numFmtId="168" formatCode="#,##0.00&quot; د.إ&quot;;-#,##0.00&quot; د.إ&quot;;&quot;–&quot;"/>
    <numFmt numFmtId="169" formatCode="&quot;₹&quot;#,##0.00;&quot;-₹&quot;#,##0.00;&quot;–&quot;"/>
    <numFmt numFmtId="170" formatCode="&quot;+₹&quot;#,##0.00;&quot;−₹&quot;#,##0.00;&quot;–&quot;"/>
    <numFmt numFmtId="171" formatCode="0;-0;&quot;–&quot;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A5F"/>
      <sz val="10"/>
    </font>
    <font>
      <name val="Arial"/>
      <b val="1"/>
      <color rgb="001F3A5F"/>
      <sz val="14"/>
    </font>
    <font>
      <name val="Arial"/>
      <b val="1"/>
      <color rgb="000000FF"/>
      <sz val="16"/>
    </font>
    <font>
      <name val="Arial"/>
      <i val="1"/>
      <color rgb="009C0006"/>
      <sz val="9"/>
    </font>
    <font>
      <name val="Arial"/>
      <i val="1"/>
      <color rgb="007F7F7F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b val="1"/>
      <color rgb="00000000"/>
      <sz val="11"/>
    </font>
    <font>
      <name val="Arial"/>
      <b val="1"/>
      <color rgb="00FFFFFF"/>
      <sz val="12"/>
    </font>
    <font>
      <name val="Arial"/>
      <b val="1"/>
      <color rgb="00006100"/>
      <sz val="11"/>
    </font>
    <font>
      <name val="Arial"/>
      <b val="1"/>
      <color rgb="009C0006"/>
      <sz val="11"/>
    </font>
    <font>
      <name val="Arial"/>
      <b val="1"/>
      <color rgb="00FFFFFF"/>
      <sz val="15"/>
    </font>
    <font>
      <name val="Arial"/>
      <color rgb="000563C1"/>
      <sz val="11"/>
      <u val="single"/>
    </font>
    <font>
      <name val="Arial"/>
      <color rgb="00006100"/>
      <sz val="11"/>
    </font>
    <font>
      <name val="Arial"/>
      <color rgb="009C0006"/>
      <sz val="11"/>
    </font>
    <font>
      <name val="Arial"/>
      <b val="1"/>
      <color rgb="00000000"/>
      <sz val="12"/>
    </font>
    <font>
      <name val="Arial"/>
      <b val="1"/>
      <color rgb="00006100"/>
      <sz val="12"/>
    </font>
    <font>
      <name val="Arial"/>
      <b val="1"/>
      <color rgb="009C0006"/>
      <sz val="12"/>
    </font>
  </fonts>
  <fills count="6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2F5597"/>
        <bgColor rgb="002F5597"/>
      </patternFill>
    </fill>
  </fills>
  <borders count="4">
    <border>
      <left/>
      <right/>
      <top/>
      <bottom/>
      <diagonal/>
    </border>
    <border>
      <left style="medium">
        <color rgb="00BF9000"/>
      </left>
      <right style="medium">
        <color rgb="00BF9000"/>
      </right>
      <top style="medium">
        <color rgb="00BF9000"/>
      </top>
      <bottom style="medium">
        <color rgb="00BF9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medium">
        <color rgb="001F3A5F"/>
      </top>
      <bottom style="thin">
        <color rgb="00D0D0D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4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6" fillId="0" borderId="0" applyAlignment="1" pivotButton="0" quotePrefix="0" xfId="0">
      <alignment horizontal="left" vertical="center" indent="1"/>
    </xf>
    <xf numFmtId="0" fontId="7" fillId="5" borderId="2" applyAlignment="1" pivotButton="0" quotePrefix="0" xfId="0">
      <alignment horizontal="left" vertical="center" indent="1"/>
    </xf>
    <xf numFmtId="0" fontId="7" fillId="5" borderId="2" applyAlignment="1" pivotButton="0" quotePrefix="0" xfId="0">
      <alignment horizontal="right" vertical="center" indent="1"/>
    </xf>
    <xf numFmtId="0" fontId="15" fillId="0" borderId="2" applyAlignment="1" pivotButton="0" quotePrefix="0" xfId="0">
      <alignment horizontal="left" indent="1"/>
    </xf>
    <xf numFmtId="168" fontId="8" fillId="0" borderId="2" applyAlignment="1" pivotButton="0" quotePrefix="0" xfId="0">
      <alignment horizontal="right" readingOrder="1"/>
    </xf>
    <xf numFmtId="169" fontId="8" fillId="0" borderId="2" applyAlignment="1" pivotButton="0" quotePrefix="0" xfId="0">
      <alignment horizontal="right" readingOrder="1"/>
    </xf>
    <xf numFmtId="170" fontId="16" fillId="0" borderId="2" applyAlignment="1" pivotButton="0" quotePrefix="0" xfId="0">
      <alignment horizontal="right" readingOrder="1"/>
    </xf>
    <xf numFmtId="170" fontId="17" fillId="0" borderId="2" applyAlignment="1" pivotButton="0" quotePrefix="0" xfId="0">
      <alignment horizontal="right" readingOrder="1"/>
    </xf>
    <xf numFmtId="167" fontId="10" fillId="0" borderId="2" applyAlignment="1" pivotButton="0" quotePrefix="0" xfId="0">
      <alignment horizontal="right" readingOrder="1"/>
    </xf>
    <xf numFmtId="171" fontId="8" fillId="0" borderId="2" applyAlignment="1" pivotButton="0" quotePrefix="0" xfId="0">
      <alignment horizontal="right" readingOrder="1"/>
    </xf>
    <xf numFmtId="0" fontId="18" fillId="3" borderId="3" applyAlignment="1" pivotButton="0" quotePrefix="0" xfId="0">
      <alignment horizontal="left" vertical="center" indent="1" readingOrder="1"/>
    </xf>
    <xf numFmtId="165" fontId="18" fillId="3" borderId="3" applyAlignment="1" pivotButton="0" quotePrefix="0" xfId="0">
      <alignment horizontal="right" vertical="center" readingOrder="1"/>
    </xf>
    <xf numFmtId="166" fontId="18" fillId="3" borderId="3" applyAlignment="1" pivotButton="0" quotePrefix="0" xfId="0">
      <alignment horizontal="right" vertical="center" readingOrder="1"/>
    </xf>
    <xf numFmtId="167" fontId="19" fillId="3" borderId="3" applyAlignment="1" pivotButton="0" quotePrefix="0" xfId="0">
      <alignment horizontal="right" vertical="center" readingOrder="1"/>
    </xf>
    <xf numFmtId="167" fontId="20" fillId="3" borderId="3" applyAlignment="1" pivotButton="0" quotePrefix="0" xfId="0">
      <alignment horizontal="right" vertical="center" readingOrder="1"/>
    </xf>
    <xf numFmtId="167" fontId="18" fillId="3" borderId="3" applyAlignment="1" pivotButton="0" quotePrefix="0" xfId="0">
      <alignment horizontal="right" vertical="center" readingOrder="1"/>
    </xf>
    <xf numFmtId="1" fontId="18" fillId="3" borderId="3" applyAlignment="1" pivotButton="0" quotePrefix="0" xfId="0">
      <alignment horizontal="right" vertical="center" readingOrder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 indent="1"/>
    </xf>
    <xf numFmtId="0" fontId="8" fillId="0" borderId="2" applyAlignment="1" pivotButton="0" quotePrefix="0" xfId="0">
      <alignment horizontal="left" indent="1"/>
    </xf>
    <xf numFmtId="165" fontId="9" fillId="0" borderId="2" applyAlignment="1" pivotButton="0" quotePrefix="0" xfId="0">
      <alignment horizontal="right" readingOrder="1"/>
    </xf>
    <xf numFmtId="166" fontId="9" fillId="0" borderId="2" applyAlignment="1" pivotButton="0" quotePrefix="0" xfId="0">
      <alignment horizontal="right" readingOrder="1"/>
    </xf>
    <xf numFmtId="167" fontId="10" fillId="0" borderId="2" applyAlignment="1" pivotButton="0" quotePrefix="0" xfId="0">
      <alignment horizontal="right"/>
    </xf>
    <xf numFmtId="0" fontId="11" fillId="2" borderId="0" applyAlignment="1" pivotButton="0" quotePrefix="0" xfId="0">
      <alignment horizontal="left" vertical="center" indent="1"/>
    </xf>
    <xf numFmtId="0" fontId="10" fillId="0" borderId="2" applyAlignment="1" pivotButton="0" quotePrefix="0" xfId="0">
      <alignment horizontal="right" indent="1"/>
    </xf>
    <xf numFmtId="0" fontId="0" fillId="0" borderId="2" pivotButton="0" quotePrefix="0" xfId="0"/>
    <xf numFmtId="165" fontId="10" fillId="0" borderId="2" applyAlignment="1" pivotButton="0" quotePrefix="0" xfId="0">
      <alignment horizontal="right" readingOrder="1"/>
    </xf>
    <xf numFmtId="166" fontId="10" fillId="0" borderId="2" applyAlignment="1" pivotButton="0" quotePrefix="0" xfId="0">
      <alignment horizontal="right" readingOrder="1"/>
    </xf>
    <xf numFmtId="167" fontId="12" fillId="0" borderId="2" applyAlignment="1" pivotButton="0" quotePrefix="0" xfId="0">
      <alignment horizontal="right" readingOrder="1"/>
    </xf>
    <xf numFmtId="167" fontId="13" fillId="0" borderId="2" applyAlignment="1" pivotButton="0" quotePrefix="0" xfId="0">
      <alignment horizontal="right" readingOrder="1"/>
    </xf>
    <xf numFmtId="0" fontId="10" fillId="0" borderId="3" applyAlignment="1" pivotButton="0" quotePrefix="0" xfId="0">
      <alignment horizontal="right" indent="1"/>
    </xf>
    <xf numFmtId="0" fontId="0" fillId="0" borderId="3" pivotButton="0" quotePrefix="0" xfId="0"/>
    <xf numFmtId="167" fontId="10" fillId="0" borderId="3" applyAlignment="1" pivotButton="0" quotePrefix="0" xfId="0">
      <alignment horizontal="right" readingOrder="1"/>
    </xf>
    <xf numFmtId="1" fontId="10" fillId="0" borderId="2" applyAlignment="1" pivotButton="0" quotePrefix="0" xfId="0">
      <alignment horizontal="right" readingOrder="1"/>
    </xf>
  </cellXfs>
  <cellStyles count="1">
    <cellStyle name="Normal" xfId="0" builtinId="0" hidden="0"/>
  </cellStyles>
  <dxfs count="3"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color rgb="007F7F7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Relationship Id="rId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pageSetUpPr fitToPage="1"/>
  </sheetPr>
  <sheetViews>
    <sheetView showGridLines="0" workbookViewId="0">
      <pane xSplit="1" ySplit="4" topLeftCell="B5" activePane="bottomRight" state="frozen"/>
    </sheetView>
  </sheetViews>
  <sheetFormatPr defaultRowHeight="15"/>
  <cols>
    <col width="14" customWidth="1" min="1" max="1"/>
    <col width="21" customWidth="1" min="2" max="2"/>
    <col width="21" customWidth="1" min="3" max="3"/>
    <col width="19" customWidth="1" min="4" max="4"/>
    <col width="19" customWidth="1" min="5" max="5"/>
    <col width="21" customWidth="1" min="6" max="6"/>
    <col width="16" customWidth="1" min="7" max="7"/>
  </cols>
  <sheetData>
    <row r="1" ht="34" customHeight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</row>
    <row r="4" ht="24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>
      <c r="A5" s="6" t="s">
        <v>9</v>
      </c>
      <c r="B5" s="7">
        <f>'01-Jan'!D47</f>
        <v>0</v>
      </c>
      <c r="C5" s="8">
        <f>'01-Jan'!D48</f>
        <v>0</v>
      </c>
      <c r="D5" s="9">
        <f>'01-Jan'!D49</f>
        <v>0</v>
      </c>
      <c r="E5" s="10">
        <f>'01-Jan'!D50</f>
        <v>0</v>
      </c>
      <c r="F5" s="11">
        <f>'01-Jan'!D51</f>
        <v>0</v>
      </c>
      <c r="G5" s="12">
        <f>'01-Jan'!D52</f>
        <v>0</v>
      </c>
    </row>
    <row r="6">
      <c r="A6" s="6" t="s">
        <v>10</v>
      </c>
      <c r="B6" s="7">
        <f>'02-Jan'!D47</f>
        <v>0</v>
      </c>
      <c r="C6" s="8">
        <f>'02-Jan'!D48</f>
        <v>0</v>
      </c>
      <c r="D6" s="9">
        <f>'02-Jan'!D49</f>
        <v>0</v>
      </c>
      <c r="E6" s="10">
        <f>'02-Jan'!D50</f>
        <v>0</v>
      </c>
      <c r="F6" s="11">
        <f>'02-Jan'!D51</f>
        <v>0</v>
      </c>
      <c r="G6" s="12">
        <f>'02-Jan'!D52</f>
        <v>0</v>
      </c>
    </row>
    <row r="7">
      <c r="A7" s="6" t="s">
        <v>11</v>
      </c>
      <c r="B7" s="7">
        <f>'03-Jan'!D47</f>
        <v>0</v>
      </c>
      <c r="C7" s="8">
        <f>'03-Jan'!D48</f>
        <v>0</v>
      </c>
      <c r="D7" s="9">
        <f>'03-Jan'!D49</f>
        <v>0</v>
      </c>
      <c r="E7" s="10">
        <f>'03-Jan'!D50</f>
        <v>0</v>
      </c>
      <c r="F7" s="11">
        <f>'03-Jan'!D51</f>
        <v>0</v>
      </c>
      <c r="G7" s="12">
        <f>'03-Jan'!D52</f>
        <v>0</v>
      </c>
    </row>
    <row r="8">
      <c r="A8" s="6" t="s">
        <v>12</v>
      </c>
      <c r="B8" s="7">
        <f>'04-Jan'!D47</f>
        <v>0</v>
      </c>
      <c r="C8" s="8">
        <f>'04-Jan'!D48</f>
        <v>0</v>
      </c>
      <c r="D8" s="9">
        <f>'04-Jan'!D49</f>
        <v>0</v>
      </c>
      <c r="E8" s="10">
        <f>'04-Jan'!D50</f>
        <v>0</v>
      </c>
      <c r="F8" s="11">
        <f>'04-Jan'!D51</f>
        <v>0</v>
      </c>
      <c r="G8" s="12">
        <f>'04-Jan'!D52</f>
        <v>0</v>
      </c>
    </row>
    <row r="9">
      <c r="A9" s="6" t="s">
        <v>13</v>
      </c>
      <c r="B9" s="7">
        <f>'05-Jan'!D47</f>
        <v>0</v>
      </c>
      <c r="C9" s="8">
        <f>'05-Jan'!D48</f>
        <v>0</v>
      </c>
      <c r="D9" s="9">
        <f>'05-Jan'!D49</f>
        <v>0</v>
      </c>
      <c r="E9" s="10">
        <f>'05-Jan'!D50</f>
        <v>0</v>
      </c>
      <c r="F9" s="11">
        <f>'05-Jan'!D51</f>
        <v>0</v>
      </c>
      <c r="G9" s="12">
        <f>'05-Jan'!D52</f>
        <v>0</v>
      </c>
    </row>
    <row r="10">
      <c r="A10" s="6" t="s">
        <v>14</v>
      </c>
      <c r="B10" s="7">
        <f>'06-Jan'!D47</f>
        <v>0</v>
      </c>
      <c r="C10" s="8">
        <f>'06-Jan'!D48</f>
        <v>0</v>
      </c>
      <c r="D10" s="9">
        <f>'06-Jan'!D49</f>
        <v>0</v>
      </c>
      <c r="E10" s="10">
        <f>'06-Jan'!D50</f>
        <v>0</v>
      </c>
      <c r="F10" s="11">
        <f>'06-Jan'!D51</f>
        <v>0</v>
      </c>
      <c r="G10" s="12">
        <f>'06-Jan'!D52</f>
        <v>0</v>
      </c>
    </row>
    <row r="11">
      <c r="A11" s="6" t="s">
        <v>15</v>
      </c>
      <c r="B11" s="7">
        <f>'07-Jan'!D47</f>
        <v>0</v>
      </c>
      <c r="C11" s="8">
        <f>'07-Jan'!D48</f>
        <v>0</v>
      </c>
      <c r="D11" s="9">
        <f>'07-Jan'!D49</f>
        <v>0</v>
      </c>
      <c r="E11" s="10">
        <f>'07-Jan'!D50</f>
        <v>0</v>
      </c>
      <c r="F11" s="11">
        <f>'07-Jan'!D51</f>
        <v>0</v>
      </c>
      <c r="G11" s="12">
        <f>'07-Jan'!D52</f>
        <v>0</v>
      </c>
    </row>
    <row r="12">
      <c r="A12" s="6" t="s">
        <v>16</v>
      </c>
      <c r="B12" s="7">
        <f>'08-Jan'!D47</f>
        <v>0</v>
      </c>
      <c r="C12" s="8">
        <f>'08-Jan'!D48</f>
        <v>0</v>
      </c>
      <c r="D12" s="9">
        <f>'08-Jan'!D49</f>
        <v>0</v>
      </c>
      <c r="E12" s="10">
        <f>'08-Jan'!D50</f>
        <v>0</v>
      </c>
      <c r="F12" s="11">
        <f>'08-Jan'!D51</f>
        <v>0</v>
      </c>
      <c r="G12" s="12">
        <f>'08-Jan'!D52</f>
        <v>0</v>
      </c>
    </row>
    <row r="13">
      <c r="A13" s="6" t="s">
        <v>17</v>
      </c>
      <c r="B13" s="7">
        <f>'09-Jan'!D47</f>
        <v>0</v>
      </c>
      <c r="C13" s="8">
        <f>'09-Jan'!D48</f>
        <v>0</v>
      </c>
      <c r="D13" s="9">
        <f>'09-Jan'!D49</f>
        <v>0</v>
      </c>
      <c r="E13" s="10">
        <f>'09-Jan'!D50</f>
        <v>0</v>
      </c>
      <c r="F13" s="11">
        <f>'09-Jan'!D51</f>
        <v>0</v>
      </c>
      <c r="G13" s="12">
        <f>'09-Jan'!D52</f>
        <v>0</v>
      </c>
    </row>
    <row r="14">
      <c r="A14" s="6" t="s">
        <v>18</v>
      </c>
      <c r="B14" s="7">
        <f>'10-Jan'!D47</f>
        <v>0</v>
      </c>
      <c r="C14" s="8">
        <f>'10-Jan'!D48</f>
        <v>0</v>
      </c>
      <c r="D14" s="9">
        <f>'10-Jan'!D49</f>
        <v>0</v>
      </c>
      <c r="E14" s="10">
        <f>'10-Jan'!D50</f>
        <v>0</v>
      </c>
      <c r="F14" s="11">
        <f>'10-Jan'!D51</f>
        <v>0</v>
      </c>
      <c r="G14" s="12">
        <f>'10-Jan'!D52</f>
        <v>0</v>
      </c>
    </row>
    <row r="15">
      <c r="A15" s="6" t="s">
        <v>19</v>
      </c>
      <c r="B15" s="7">
        <f>'11-Jan'!D47</f>
        <v>0</v>
      </c>
      <c r="C15" s="8">
        <f>'11-Jan'!D48</f>
        <v>0</v>
      </c>
      <c r="D15" s="9">
        <f>'11-Jan'!D49</f>
        <v>0</v>
      </c>
      <c r="E15" s="10">
        <f>'11-Jan'!D50</f>
        <v>0</v>
      </c>
      <c r="F15" s="11">
        <f>'11-Jan'!D51</f>
        <v>0</v>
      </c>
      <c r="G15" s="12">
        <f>'11-Jan'!D52</f>
        <v>0</v>
      </c>
    </row>
    <row r="16">
      <c r="A16" s="6" t="s">
        <v>20</v>
      </c>
      <c r="B16" s="7">
        <f>'12-Jan'!D47</f>
        <v>0</v>
      </c>
      <c r="C16" s="8">
        <f>'12-Jan'!D48</f>
        <v>0</v>
      </c>
      <c r="D16" s="9">
        <f>'12-Jan'!D49</f>
        <v>0</v>
      </c>
      <c r="E16" s="10">
        <f>'12-Jan'!D50</f>
        <v>0</v>
      </c>
      <c r="F16" s="11">
        <f>'12-Jan'!D51</f>
        <v>0</v>
      </c>
      <c r="G16" s="12">
        <f>'12-Jan'!D52</f>
        <v>0</v>
      </c>
    </row>
    <row r="17">
      <c r="A17" s="6" t="s">
        <v>21</v>
      </c>
      <c r="B17" s="7">
        <f>'13-Jan'!D47</f>
        <v>0</v>
      </c>
      <c r="C17" s="8">
        <f>'13-Jan'!D48</f>
        <v>0</v>
      </c>
      <c r="D17" s="9">
        <f>'13-Jan'!D49</f>
        <v>0</v>
      </c>
      <c r="E17" s="10">
        <f>'13-Jan'!D50</f>
        <v>0</v>
      </c>
      <c r="F17" s="11">
        <f>'13-Jan'!D51</f>
        <v>0</v>
      </c>
      <c r="G17" s="12">
        <f>'13-Jan'!D52</f>
        <v>0</v>
      </c>
    </row>
    <row r="18">
      <c r="A18" s="6" t="s">
        <v>22</v>
      </c>
      <c r="B18" s="7">
        <f>'14-Jan'!D47</f>
        <v>0</v>
      </c>
      <c r="C18" s="8">
        <f>'14-Jan'!D48</f>
        <v>0</v>
      </c>
      <c r="D18" s="9">
        <f>'14-Jan'!D49</f>
        <v>0</v>
      </c>
      <c r="E18" s="10">
        <f>'14-Jan'!D50</f>
        <v>0</v>
      </c>
      <c r="F18" s="11">
        <f>'14-Jan'!D51</f>
        <v>0</v>
      </c>
      <c r="G18" s="12">
        <f>'14-Jan'!D52</f>
        <v>0</v>
      </c>
    </row>
    <row r="19">
      <c r="A19" s="6" t="s">
        <v>23</v>
      </c>
      <c r="B19" s="7">
        <f>'15-Jan'!D47</f>
        <v>0</v>
      </c>
      <c r="C19" s="8">
        <f>'15-Jan'!D48</f>
        <v>0</v>
      </c>
      <c r="D19" s="9">
        <f>'15-Jan'!D49</f>
        <v>0</v>
      </c>
      <c r="E19" s="10">
        <f>'15-Jan'!D50</f>
        <v>0</v>
      </c>
      <c r="F19" s="11">
        <f>'15-Jan'!D51</f>
        <v>0</v>
      </c>
      <c r="G19" s="12">
        <f>'15-Jan'!D52</f>
        <v>0</v>
      </c>
    </row>
    <row r="20">
      <c r="A20" s="6" t="s">
        <v>24</v>
      </c>
      <c r="B20" s="7">
        <f>'16-Jan'!D47</f>
        <v>0</v>
      </c>
      <c r="C20" s="8">
        <f>'16-Jan'!D48</f>
        <v>0</v>
      </c>
      <c r="D20" s="9">
        <f>'16-Jan'!D49</f>
        <v>0</v>
      </c>
      <c r="E20" s="10">
        <f>'16-Jan'!D50</f>
        <v>0</v>
      </c>
      <c r="F20" s="11">
        <f>'16-Jan'!D51</f>
        <v>0</v>
      </c>
      <c r="G20" s="12">
        <f>'16-Jan'!D52</f>
        <v>0</v>
      </c>
    </row>
    <row r="21">
      <c r="A21" s="6" t="s">
        <v>25</v>
      </c>
      <c r="B21" s="7">
        <f>'17-Jan'!D47</f>
        <v>0</v>
      </c>
      <c r="C21" s="8">
        <f>'17-Jan'!D48</f>
        <v>0</v>
      </c>
      <c r="D21" s="9">
        <f>'17-Jan'!D49</f>
        <v>0</v>
      </c>
      <c r="E21" s="10">
        <f>'17-Jan'!D50</f>
        <v>0</v>
      </c>
      <c r="F21" s="11">
        <f>'17-Jan'!D51</f>
        <v>0</v>
      </c>
      <c r="G21" s="12">
        <f>'17-Jan'!D52</f>
        <v>0</v>
      </c>
    </row>
    <row r="22">
      <c r="A22" s="6" t="s">
        <v>26</v>
      </c>
      <c r="B22" s="7">
        <f>'18-Jan'!D47</f>
        <v>0</v>
      </c>
      <c r="C22" s="8">
        <f>'18-Jan'!D48</f>
        <v>0</v>
      </c>
      <c r="D22" s="9">
        <f>'18-Jan'!D49</f>
        <v>0</v>
      </c>
      <c r="E22" s="10">
        <f>'18-Jan'!D50</f>
        <v>0</v>
      </c>
      <c r="F22" s="11">
        <f>'18-Jan'!D51</f>
        <v>0</v>
      </c>
      <c r="G22" s="12">
        <f>'18-Jan'!D52</f>
        <v>0</v>
      </c>
    </row>
    <row r="23">
      <c r="A23" s="6" t="s">
        <v>27</v>
      </c>
      <c r="B23" s="7">
        <f>'19-Jan'!D47</f>
        <v>0</v>
      </c>
      <c r="C23" s="8">
        <f>'19-Jan'!D48</f>
        <v>0</v>
      </c>
      <c r="D23" s="9">
        <f>'19-Jan'!D49</f>
        <v>0</v>
      </c>
      <c r="E23" s="10">
        <f>'19-Jan'!D50</f>
        <v>0</v>
      </c>
      <c r="F23" s="11">
        <f>'19-Jan'!D51</f>
        <v>0</v>
      </c>
      <c r="G23" s="12">
        <f>'19-Jan'!D52</f>
        <v>0</v>
      </c>
    </row>
    <row r="24">
      <c r="A24" s="6" t="s">
        <v>28</v>
      </c>
      <c r="B24" s="7">
        <f>'20-Jan'!D47</f>
        <v>0</v>
      </c>
      <c r="C24" s="8">
        <f>'20-Jan'!D48</f>
        <v>0</v>
      </c>
      <c r="D24" s="9">
        <f>'20-Jan'!D49</f>
        <v>0</v>
      </c>
      <c r="E24" s="10">
        <f>'20-Jan'!D50</f>
        <v>0</v>
      </c>
      <c r="F24" s="11">
        <f>'20-Jan'!D51</f>
        <v>0</v>
      </c>
      <c r="G24" s="12">
        <f>'20-Jan'!D52</f>
        <v>0</v>
      </c>
    </row>
    <row r="25">
      <c r="A25" s="6" t="s">
        <v>29</v>
      </c>
      <c r="B25" s="7">
        <f>'21-Jan'!D47</f>
        <v>0</v>
      </c>
      <c r="C25" s="8">
        <f>'21-Jan'!D48</f>
        <v>0</v>
      </c>
      <c r="D25" s="9">
        <f>'21-Jan'!D49</f>
        <v>0</v>
      </c>
      <c r="E25" s="10">
        <f>'21-Jan'!D50</f>
        <v>0</v>
      </c>
      <c r="F25" s="11">
        <f>'21-Jan'!D51</f>
        <v>0</v>
      </c>
      <c r="G25" s="12">
        <f>'21-Jan'!D52</f>
        <v>0</v>
      </c>
    </row>
    <row r="26">
      <c r="A26" s="6" t="s">
        <v>30</v>
      </c>
      <c r="B26" s="7">
        <f>'22-Jan'!D47</f>
        <v>0</v>
      </c>
      <c r="C26" s="8">
        <f>'22-Jan'!D48</f>
        <v>0</v>
      </c>
      <c r="D26" s="9">
        <f>'22-Jan'!D49</f>
        <v>0</v>
      </c>
      <c r="E26" s="10">
        <f>'22-Jan'!D50</f>
        <v>0</v>
      </c>
      <c r="F26" s="11">
        <f>'22-Jan'!D51</f>
        <v>0</v>
      </c>
      <c r="G26" s="12">
        <f>'22-Jan'!D52</f>
        <v>0</v>
      </c>
    </row>
    <row r="27">
      <c r="A27" s="6" t="s">
        <v>31</v>
      </c>
      <c r="B27" s="7">
        <f>'23-Jan'!D47</f>
        <v>0</v>
      </c>
      <c r="C27" s="8">
        <f>'23-Jan'!D48</f>
        <v>0</v>
      </c>
      <c r="D27" s="9">
        <f>'23-Jan'!D49</f>
        <v>0</v>
      </c>
      <c r="E27" s="10">
        <f>'23-Jan'!D50</f>
        <v>0</v>
      </c>
      <c r="F27" s="11">
        <f>'23-Jan'!D51</f>
        <v>0</v>
      </c>
      <c r="G27" s="12">
        <f>'23-Jan'!D52</f>
        <v>0</v>
      </c>
    </row>
    <row r="28">
      <c r="A28" s="6" t="s">
        <v>32</v>
      </c>
      <c r="B28" s="7">
        <f>'24-Jan'!D47</f>
        <v>0</v>
      </c>
      <c r="C28" s="8">
        <f>'24-Jan'!D48</f>
        <v>0</v>
      </c>
      <c r="D28" s="9">
        <f>'24-Jan'!D49</f>
        <v>0</v>
      </c>
      <c r="E28" s="10">
        <f>'24-Jan'!D50</f>
        <v>0</v>
      </c>
      <c r="F28" s="11">
        <f>'24-Jan'!D51</f>
        <v>0</v>
      </c>
      <c r="G28" s="12">
        <f>'24-Jan'!D52</f>
        <v>0</v>
      </c>
    </row>
    <row r="29">
      <c r="A29" s="6" t="s">
        <v>33</v>
      </c>
      <c r="B29" s="7">
        <f>'25-Jan'!D47</f>
        <v>0</v>
      </c>
      <c r="C29" s="8">
        <f>'25-Jan'!D48</f>
        <v>0</v>
      </c>
      <c r="D29" s="9">
        <f>'25-Jan'!D49</f>
        <v>0</v>
      </c>
      <c r="E29" s="10">
        <f>'25-Jan'!D50</f>
        <v>0</v>
      </c>
      <c r="F29" s="11">
        <f>'25-Jan'!D51</f>
        <v>0</v>
      </c>
      <c r="G29" s="12">
        <f>'25-Jan'!D52</f>
        <v>0</v>
      </c>
    </row>
    <row r="30">
      <c r="A30" s="6" t="s">
        <v>34</v>
      </c>
      <c r="B30" s="7">
        <f>'26-Jan'!D47</f>
        <v>0</v>
      </c>
      <c r="C30" s="8">
        <f>'26-Jan'!D48</f>
        <v>0</v>
      </c>
      <c r="D30" s="9">
        <f>'26-Jan'!D49</f>
        <v>0</v>
      </c>
      <c r="E30" s="10">
        <f>'26-Jan'!D50</f>
        <v>0</v>
      </c>
      <c r="F30" s="11">
        <f>'26-Jan'!D51</f>
        <v>0</v>
      </c>
      <c r="G30" s="12">
        <f>'26-Jan'!D52</f>
        <v>0</v>
      </c>
    </row>
    <row r="31">
      <c r="A31" s="6" t="s">
        <v>35</v>
      </c>
      <c r="B31" s="7">
        <f>'27-Jan'!D47</f>
        <v>0</v>
      </c>
      <c r="C31" s="8">
        <f>'27-Jan'!D48</f>
        <v>0</v>
      </c>
      <c r="D31" s="9">
        <f>'27-Jan'!D49</f>
        <v>0</v>
      </c>
      <c r="E31" s="10">
        <f>'27-Jan'!D50</f>
        <v>0</v>
      </c>
      <c r="F31" s="11">
        <f>'27-Jan'!D51</f>
        <v>0</v>
      </c>
      <c r="G31" s="12">
        <f>'27-Jan'!D52</f>
        <v>0</v>
      </c>
    </row>
    <row r="32">
      <c r="A32" s="6" t="s">
        <v>36</v>
      </c>
      <c r="B32" s="7">
        <f>'28-Jan'!D47</f>
        <v>0</v>
      </c>
      <c r="C32" s="8">
        <f>'28-Jan'!D48</f>
        <v>0</v>
      </c>
      <c r="D32" s="9">
        <f>'28-Jan'!D49</f>
        <v>0</v>
      </c>
      <c r="E32" s="10">
        <f>'28-Jan'!D50</f>
        <v>0</v>
      </c>
      <c r="F32" s="11">
        <f>'28-Jan'!D51</f>
        <v>0</v>
      </c>
      <c r="G32" s="12">
        <f>'28-Jan'!D52</f>
        <v>0</v>
      </c>
    </row>
    <row r="33">
      <c r="A33" s="6" t="s">
        <v>37</v>
      </c>
      <c r="B33" s="7">
        <f>'29-Jan'!D47</f>
        <v>0</v>
      </c>
      <c r="C33" s="8">
        <f>'29-Jan'!D48</f>
        <v>0</v>
      </c>
      <c r="D33" s="9">
        <f>'29-Jan'!D49</f>
        <v>0</v>
      </c>
      <c r="E33" s="10">
        <f>'29-Jan'!D50</f>
        <v>0</v>
      </c>
      <c r="F33" s="11">
        <f>'29-Jan'!D51</f>
        <v>0</v>
      </c>
      <c r="G33" s="12">
        <f>'29-Jan'!D52</f>
        <v>0</v>
      </c>
    </row>
    <row r="34">
      <c r="A34" s="6" t="s">
        <v>38</v>
      </c>
      <c r="B34" s="7">
        <f>'30-Jan'!D47</f>
        <v>0</v>
      </c>
      <c r="C34" s="8">
        <f>'30-Jan'!D48</f>
        <v>0</v>
      </c>
      <c r="D34" s="9">
        <f>'30-Jan'!D49</f>
        <v>0</v>
      </c>
      <c r="E34" s="10">
        <f>'30-Jan'!D50</f>
        <v>0</v>
      </c>
      <c r="F34" s="11">
        <f>'30-Jan'!D51</f>
        <v>0</v>
      </c>
      <c r="G34" s="12">
        <f>'30-Jan'!D52</f>
        <v>0</v>
      </c>
    </row>
    <row r="35">
      <c r="A35" s="6" t="s">
        <v>39</v>
      </c>
      <c r="B35" s="7">
        <f>'31-Jan'!D47</f>
        <v>0</v>
      </c>
      <c r="C35" s="8">
        <f>'31-Jan'!D48</f>
        <v>0</v>
      </c>
      <c r="D35" s="9">
        <f>'31-Jan'!D49</f>
        <v>0</v>
      </c>
      <c r="E35" s="10">
        <f>'31-Jan'!D50</f>
        <v>0</v>
      </c>
      <c r="F35" s="11">
        <f>'31-Jan'!D51</f>
        <v>0</v>
      </c>
      <c r="G35" s="12">
        <f>'31-Jan'!D52</f>
        <v>0</v>
      </c>
    </row>
    <row r="36" ht="26" customHeight="1">
      <c r="A36" s="13" t="s">
        <v>40</v>
      </c>
      <c r="B36" s="14">
        <f>SUM(B5:B35)</f>
        <v>0</v>
      </c>
      <c r="C36" s="15">
        <f>SUM(C5:C35)</f>
        <v>0</v>
      </c>
      <c r="D36" s="16">
        <f>SUM(D5:D35)</f>
        <v>0</v>
      </c>
      <c r="E36" s="17">
        <f>SUM(E5:E35)</f>
        <v>0</v>
      </c>
      <c r="F36" s="18">
        <f>SUM(F5:F35)</f>
        <v>0</v>
      </c>
      <c r="G36" s="19">
        <f>SUM(G5:G35)</f>
        <v>0</v>
      </c>
    </row>
  </sheetData>
  <mergeCells count="2">
    <mergeCell ref="A2:G2"/>
    <mergeCell ref="A1:G1"/>
  </mergeCells>
  <conditionalFormatting sqref="F5:F35">
    <cfRule type="expression" priority="1" dxfId="0">
      <formula>AND(ISNUMBER($F5),$F5&gt;0)</formula>
    </cfRule>
    <cfRule type="expression" priority="2" dxfId="1">
      <formula>AND(ISNUMBER($F5),$F5&lt;0)</formula>
    </cfRule>
    <cfRule type="expression" priority="3" dxfId="2">
      <formula>AND(ISNUMBER($F5),$F5=0)</formula>
    </cfRule>
  </conditionalFormatting>
  <conditionalFormatting sqref="F36">
    <cfRule type="expression" priority="4" dxfId="0">
      <formula>AND(ISNUMBER($F$36),$F$36&gt;0)</formula>
    </cfRule>
    <cfRule type="expression" priority="5" dxfId="1">
      <formula>AND(ISNUMBER($F$36),$F$36&lt;0)</formula>
    </cfRule>
    <cfRule type="expression" priority="6" dxfId="2">
      <formula>AND(ISNUMBER($F$36),$F$36=0)</formula>
    </cfRule>
  </conditionalFormatting>
  <hyperlinks>
    <hyperlink ref="A5" location="'01-Jan'!A1"/>
    <hyperlink ref="A6" location="'02-Jan'!A1"/>
    <hyperlink ref="A7" location="'03-Jan'!A1"/>
    <hyperlink ref="A8" location="'04-Jan'!A1"/>
    <hyperlink ref="A9" location="'05-Jan'!A1"/>
    <hyperlink ref="A10" location="'06-Jan'!A1"/>
    <hyperlink ref="A11" location="'07-Jan'!A1"/>
    <hyperlink ref="A12" location="'08-Jan'!A1"/>
    <hyperlink ref="A13" location="'09-Jan'!A1"/>
    <hyperlink ref="A14" location="'10-Jan'!A1"/>
    <hyperlink ref="A15" location="'11-Jan'!A1"/>
    <hyperlink ref="A16" location="'12-Jan'!A1"/>
    <hyperlink ref="A17" location="'13-Jan'!A1"/>
    <hyperlink ref="A18" location="'14-Jan'!A1"/>
    <hyperlink ref="A19" location="'15-Jan'!A1"/>
    <hyperlink ref="A20" location="'16-Jan'!A1"/>
    <hyperlink ref="A21" location="'17-Jan'!A1"/>
    <hyperlink ref="A22" location="'18-Jan'!A1"/>
    <hyperlink ref="A23" location="'19-Jan'!A1"/>
    <hyperlink ref="A24" location="'20-Jan'!A1"/>
    <hyperlink ref="A25" location="'21-Jan'!A1"/>
    <hyperlink ref="A26" location="'22-Jan'!A1"/>
    <hyperlink ref="A27" location="'23-Jan'!A1"/>
    <hyperlink ref="A28" location="'24-Jan'!A1"/>
    <hyperlink ref="A29" location="'25-Jan'!A1"/>
    <hyperlink ref="A30" location="'26-Jan'!A1"/>
    <hyperlink ref="A31" location="'27-Jan'!A1"/>
    <hyperlink ref="A32" location="'28-Jan'!A1"/>
    <hyperlink ref="A33" location="'29-Jan'!A1"/>
    <hyperlink ref="A34" location="'30-Jan'!A1"/>
    <hyperlink ref="A35" location="'31-Jan'!A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9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0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1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2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3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4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5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6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7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8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9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30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31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32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32" customWidth="1" min="1" max="1"/>
    <col width="21" customWidth="1" min="2" max="2"/>
    <col width="21" customWidth="1" min="3" max="3"/>
    <col width="21" customWidth="1" min="4" max="4"/>
  </cols>
  <sheetData>
    <row r="1" ht="32" customHeight="1">
      <c r="A1" s="20" t="s">
        <v>41</v>
      </c>
      <c r="B1" s="20"/>
      <c r="C1" s="20" t="s">
        <v>42</v>
      </c>
      <c r="D1" s="20"/>
    </row>
    <row r="2" ht="34" customHeight="1">
      <c r="A2" s="21" t="s">
        <v>43</v>
      </c>
      <c r="B2" s="22" t="s">
        <v>44</v>
      </c>
      <c r="C2" s="23"/>
      <c r="D2" s="24" t="str">
        <f>IF(N(C2)&gt;0,"","◄ enter today's rate")</f>
        <v>◄ enter today's rate</v>
      </c>
    </row>
    <row r="3" ht="28" customHeight="1">
      <c r="A3" s="25" t="s">
        <v>45</v>
      </c>
    </row>
    <row r="4" ht="24" customHeight="1">
      <c r="A4" s="4" t="s">
        <v>46</v>
      </c>
      <c r="B4" s="5" t="s">
        <v>3</v>
      </c>
      <c r="C4" s="5" t="s">
        <v>4</v>
      </c>
      <c r="D4" s="5" t="s">
        <v>47</v>
      </c>
    </row>
    <row r="5">
      <c r="A5" s="26"/>
      <c r="B5" s="27"/>
      <c r="C5" s="28"/>
      <c r="D5" s="29">
        <f t="shared" ref="D5:D44" si="0">IF(AND(ISNUMBER(B5),ISNUMBER(C5),N($C$2)&gt;0),ROUND(B5*$C$2-C5,2),"")</f>
      </c>
    </row>
    <row r="6">
      <c r="A6" s="26"/>
      <c r="B6" s="27"/>
      <c r="C6" s="28"/>
      <c r="D6" s="29">
        <f t="shared" si="0"/>
      </c>
    </row>
    <row r="7">
      <c r="A7" s="26"/>
      <c r="B7" s="27"/>
      <c r="C7" s="28"/>
      <c r="D7" s="29">
        <f t="shared" si="0"/>
      </c>
    </row>
    <row r="8">
      <c r="A8" s="26"/>
      <c r="B8" s="27"/>
      <c r="C8" s="28"/>
      <c r="D8" s="29">
        <f t="shared" si="0"/>
      </c>
    </row>
    <row r="9">
      <c r="A9" s="26"/>
      <c r="B9" s="27"/>
      <c r="C9" s="28"/>
      <c r="D9" s="29">
        <f t="shared" si="0"/>
      </c>
    </row>
    <row r="10">
      <c r="A10" s="26"/>
      <c r="B10" s="27"/>
      <c r="C10" s="28"/>
      <c r="D10" s="29">
        <f t="shared" si="0"/>
      </c>
    </row>
    <row r="11">
      <c r="A11" s="26"/>
      <c r="B11" s="27"/>
      <c r="C11" s="28"/>
      <c r="D11" s="29">
        <f t="shared" si="0"/>
      </c>
    </row>
    <row r="12">
      <c r="A12" s="26"/>
      <c r="B12" s="27"/>
      <c r="C12" s="28"/>
      <c r="D12" s="29">
        <f t="shared" si="0"/>
      </c>
    </row>
    <row r="13">
      <c r="A13" s="26"/>
      <c r="B13" s="27"/>
      <c r="C13" s="28"/>
      <c r="D13" s="29">
        <f t="shared" si="0"/>
      </c>
    </row>
    <row r="14">
      <c r="A14" s="26"/>
      <c r="B14" s="27"/>
      <c r="C14" s="28"/>
      <c r="D14" s="29">
        <f t="shared" si="0"/>
      </c>
    </row>
    <row r="15">
      <c r="A15" s="26"/>
      <c r="B15" s="27"/>
      <c r="C15" s="28"/>
      <c r="D15" s="29">
        <f t="shared" si="0"/>
      </c>
    </row>
    <row r="16">
      <c r="A16" s="26"/>
      <c r="B16" s="27"/>
      <c r="C16" s="28"/>
      <c r="D16" s="29">
        <f t="shared" si="0"/>
      </c>
    </row>
    <row r="17">
      <c r="A17" s="26"/>
      <c r="B17" s="27"/>
      <c r="C17" s="28"/>
      <c r="D17" s="29">
        <f t="shared" si="0"/>
      </c>
    </row>
    <row r="18">
      <c r="A18" s="26"/>
      <c r="B18" s="27"/>
      <c r="C18" s="28"/>
      <c r="D18" s="29">
        <f t="shared" si="0"/>
      </c>
    </row>
    <row r="19">
      <c r="A19" s="26"/>
      <c r="B19" s="27"/>
      <c r="C19" s="28"/>
      <c r="D19" s="29">
        <f t="shared" si="0"/>
      </c>
    </row>
    <row r="20">
      <c r="A20" s="26"/>
      <c r="B20" s="27"/>
      <c r="C20" s="28"/>
      <c r="D20" s="29">
        <f t="shared" si="0"/>
      </c>
    </row>
    <row r="21">
      <c r="A21" s="26"/>
      <c r="B21" s="27"/>
      <c r="C21" s="28"/>
      <c r="D21" s="29">
        <f t="shared" si="0"/>
      </c>
    </row>
    <row r="22">
      <c r="A22" s="26"/>
      <c r="B22" s="27"/>
      <c r="C22" s="28"/>
      <c r="D22" s="29">
        <f t="shared" si="0"/>
      </c>
    </row>
    <row r="23">
      <c r="A23" s="26"/>
      <c r="B23" s="27"/>
      <c r="C23" s="28"/>
      <c r="D23" s="29">
        <f t="shared" si="0"/>
      </c>
    </row>
    <row r="24">
      <c r="A24" s="26"/>
      <c r="B24" s="27"/>
      <c r="C24" s="28"/>
      <c r="D24" s="29">
        <f t="shared" si="0"/>
      </c>
    </row>
    <row r="25">
      <c r="A25" s="26"/>
      <c r="B25" s="27"/>
      <c r="C25" s="28"/>
      <c r="D25" s="29">
        <f t="shared" si="0"/>
      </c>
    </row>
    <row r="26">
      <c r="A26" s="26"/>
      <c r="B26" s="27"/>
      <c r="C26" s="28"/>
      <c r="D26" s="29">
        <f t="shared" si="0"/>
      </c>
    </row>
    <row r="27">
      <c r="A27" s="26"/>
      <c r="B27" s="27"/>
      <c r="C27" s="28"/>
      <c r="D27" s="29">
        <f t="shared" si="0"/>
      </c>
    </row>
    <row r="28">
      <c r="A28" s="26"/>
      <c r="B28" s="27"/>
      <c r="C28" s="28"/>
      <c r="D28" s="29">
        <f t="shared" si="0"/>
      </c>
    </row>
    <row r="29">
      <c r="A29" s="26"/>
      <c r="B29" s="27"/>
      <c r="C29" s="28"/>
      <c r="D29" s="29">
        <f t="shared" si="0"/>
      </c>
    </row>
    <row r="30">
      <c r="A30" s="26"/>
      <c r="B30" s="27"/>
      <c r="C30" s="28"/>
      <c r="D30" s="29">
        <f t="shared" si="0"/>
      </c>
    </row>
    <row r="31">
      <c r="A31" s="26"/>
      <c r="B31" s="27"/>
      <c r="C31" s="28"/>
      <c r="D31" s="29">
        <f t="shared" si="0"/>
      </c>
    </row>
    <row r="32">
      <c r="A32" s="26"/>
      <c r="B32" s="27"/>
      <c r="C32" s="28"/>
      <c r="D32" s="29">
        <f t="shared" si="0"/>
      </c>
    </row>
    <row r="33">
      <c r="A33" s="26"/>
      <c r="B33" s="27"/>
      <c r="C33" s="28"/>
      <c r="D33" s="29">
        <f t="shared" si="0"/>
      </c>
    </row>
    <row r="34">
      <c r="A34" s="26"/>
      <c r="B34" s="27"/>
      <c r="C34" s="28"/>
      <c r="D34" s="29">
        <f t="shared" si="0"/>
      </c>
    </row>
    <row r="35">
      <c r="A35" s="26"/>
      <c r="B35" s="27"/>
      <c r="C35" s="28"/>
      <c r="D35" s="29">
        <f t="shared" si="0"/>
      </c>
    </row>
    <row r="36">
      <c r="A36" s="26"/>
      <c r="B36" s="27"/>
      <c r="C36" s="28"/>
      <c r="D36" s="29">
        <f t="shared" si="0"/>
      </c>
    </row>
    <row r="37">
      <c r="A37" s="26"/>
      <c r="B37" s="27"/>
      <c r="C37" s="28"/>
      <c r="D37" s="29">
        <f t="shared" si="0"/>
      </c>
    </row>
    <row r="38">
      <c r="A38" s="26"/>
      <c r="B38" s="27"/>
      <c r="C38" s="28"/>
      <c r="D38" s="29">
        <f t="shared" si="0"/>
      </c>
    </row>
    <row r="39">
      <c r="A39" s="26"/>
      <c r="B39" s="27"/>
      <c r="C39" s="28"/>
      <c r="D39" s="29">
        <f t="shared" si="0"/>
      </c>
    </row>
    <row r="40">
      <c r="A40" s="26"/>
      <c r="B40" s="27"/>
      <c r="C40" s="28"/>
      <c r="D40" s="29">
        <f t="shared" si="0"/>
      </c>
    </row>
    <row r="41">
      <c r="A41" s="26"/>
      <c r="B41" s="27"/>
      <c r="C41" s="28"/>
      <c r="D41" s="29">
        <f t="shared" si="0"/>
      </c>
    </row>
    <row r="42">
      <c r="A42" s="26"/>
      <c r="B42" s="27"/>
      <c r="C42" s="28"/>
      <c r="D42" s="29">
        <f t="shared" si="0"/>
      </c>
    </row>
    <row r="43">
      <c r="A43" s="26"/>
      <c r="B43" s="27"/>
      <c r="C43" s="28"/>
      <c r="D43" s="29">
        <f t="shared" si="0"/>
      </c>
    </row>
    <row r="44">
      <c r="A44" s="26"/>
      <c r="B44" s="27"/>
      <c r="C44" s="28"/>
      <c r="D44" s="29">
        <f t="shared" si="0"/>
      </c>
    </row>
    <row r="46" ht="24" customHeight="1">
      <c r="A46" s="30" t="s">
        <v>48</v>
      </c>
      <c r="B46" s="2"/>
      <c r="C46" s="2"/>
      <c r="D46" s="2"/>
    </row>
    <row r="47">
      <c r="A47" s="31" t="s">
        <v>49</v>
      </c>
      <c r="B47" s="32"/>
      <c r="C47" s="32"/>
      <c r="D47" s="33">
        <f>SUM(B5:B44)</f>
        <v>0</v>
      </c>
    </row>
    <row r="48">
      <c r="A48" s="31" t="s">
        <v>50</v>
      </c>
      <c r="B48" s="32"/>
      <c r="C48" s="32"/>
      <c r="D48" s="34">
        <f>SUM(C5:C44)</f>
        <v>0</v>
      </c>
    </row>
    <row r="49">
      <c r="A49" s="31" t="s">
        <v>51</v>
      </c>
      <c r="B49" s="32"/>
      <c r="C49" s="32"/>
      <c r="D49" s="35">
        <f>SUMIF(D5:D44,"&gt;0")</f>
        <v>0</v>
      </c>
    </row>
    <row r="50">
      <c r="A50" s="31" t="s">
        <v>52</v>
      </c>
      <c r="B50" s="32"/>
      <c r="C50" s="32"/>
      <c r="D50" s="36">
        <f>SUMIF(D5:D44,"&lt;0")</f>
        <v>0</v>
      </c>
    </row>
    <row r="51">
      <c r="A51" s="37" t="s">
        <v>7</v>
      </c>
      <c r="B51" s="38"/>
      <c r="C51" s="38"/>
      <c r="D51" s="39">
        <f>SUM(D5:D44)</f>
        <v>0</v>
      </c>
    </row>
    <row r="52">
      <c r="A52" s="31" t="s">
        <v>53</v>
      </c>
      <c r="B52" s="32"/>
      <c r="C52" s="32"/>
      <c r="D52" s="40">
        <f>SUMPRODUCT(--((ISNUMBER(B5:B44)+ISNUMBER(C5:C44))&gt;0))</f>
        <v>0</v>
      </c>
    </row>
  </sheetData>
  <mergeCells count="10">
    <mergeCell ref="A49:C49"/>
    <mergeCell ref="A47:C47"/>
    <mergeCell ref="C1:D1"/>
    <mergeCell ref="A3:D3"/>
    <mergeCell ref="A1:B1"/>
    <mergeCell ref="A50:C50"/>
    <mergeCell ref="A48:C48"/>
    <mergeCell ref="A46:D46"/>
    <mergeCell ref="A51:C51"/>
    <mergeCell ref="A52:C52"/>
  </mergeCells>
  <conditionalFormatting sqref="D5:D44 D51">
    <cfRule type="expression" priority="1" dxfId="0">
      <formula>AND(ISNUMBER($D5),$D5&gt;0)</formula>
    </cfRule>
    <cfRule type="expression" priority="2" dxfId="1">
      <formula>AND(ISNUMBER($D5),$D5&lt;0)</formula>
    </cfRule>
    <cfRule type="expression" priority="3" dxfId="2">
      <formula>AND(ISNUMBER($D5),$D5=0)</formula>
    </cfRule>
  </conditionalFormatting>
  <dataValidations count="2">
    <dataValidation sqref="C2" showErrorMessage="1" allowBlank="1" errorTitle="Rate" error="Enter a number above 0, e.g. 25.00" type="decimal" operator="greaterThan">
      <formula1>0</formula1>
    </dataValidation>
    <dataValidation sqref="B5:C44" showErrorMessage="1" allowBlank="1" errorTitle="Amount" error="Numbers only, 0 or more" type="decimal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2026-10-03T01:54:15Z</dcterms:created>
  <dcterms:modified xsi:type="dcterms:W3CDTF">2026-10-03T01:54:15Z</dcterms:modified>
</cp:coreProperties>
</file>